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chyravis/Library/Mobile Documents/com~apple~CloudDocs/01. Ravis Academics/16. BITs Hyderabad/0A. Courses/04. Financial Analytics/0M. Materaislf for Sessions/12. Model Evaluatin Basics/"/>
    </mc:Choice>
  </mc:AlternateContent>
  <xr:revisionPtr revIDLastSave="0" documentId="13_ncr:1_{8960B6D9-88C7-4249-9B42-F1974AB8B155}" xr6:coauthVersionLast="47" xr6:coauthVersionMax="47" xr10:uidLastSave="{00000000-0000-0000-0000-000000000000}"/>
  <bookViews>
    <workbookView xWindow="0" yWindow="0" windowWidth="33600" windowHeight="21000" xr2:uid="{53270C60-32F2-B749-8FF3-CBCDDFD0E4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2" i="1"/>
  <c r="G32" i="1"/>
  <c r="F32" i="1"/>
  <c r="H31" i="1"/>
  <c r="H30" i="1"/>
  <c r="H29" i="1"/>
  <c r="H28" i="1"/>
  <c r="E6" i="1"/>
  <c r="B33" i="1"/>
  <c r="B32" i="1"/>
  <c r="B31" i="1"/>
  <c r="B30" i="1"/>
  <c r="B29" i="1"/>
  <c r="B28" i="1"/>
  <c r="C24" i="1"/>
  <c r="C23" i="1"/>
  <c r="C22" i="1"/>
  <c r="C21" i="1"/>
  <c r="C20" i="1"/>
  <c r="C19" i="1"/>
  <c r="C18" i="1"/>
  <c r="C17" i="1"/>
  <c r="C16" i="1"/>
  <c r="C15" i="1"/>
  <c r="C14" i="1"/>
  <c r="F8" i="1"/>
  <c r="E8" i="1"/>
  <c r="F6" i="1"/>
  <c r="F5" i="1"/>
  <c r="E5" i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Ravichandran Vaidyanathan</author>
  </authors>
  <commentList>
    <comment ref="E5" authorId="0" shapeId="0" xr:uid="{1883F4D5-EF63-1547-84B2-93DF467233B4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True Positives — correctly predicted positive</t>
        </r>
      </text>
    </comment>
    <comment ref="F5" authorId="0" shapeId="0" xr:uid="{978BF602-ADDF-3140-8307-698C843103DC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False Negatives — missed positives</t>
        </r>
      </text>
    </comment>
    <comment ref="E6" authorId="0" shapeId="0" xr:uid="{3AA6C1EE-4A62-4F4A-96CA-C792B8A05A98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False Positives — false alarms</t>
        </r>
      </text>
    </comment>
    <comment ref="F6" authorId="0" shapeId="0" xr:uid="{4E1FBCB9-810F-7B43-8921-DFCE54C86789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True Negatives — correctly predicted negative</t>
        </r>
      </text>
    </comment>
    <comment ref="C24" authorId="0" shapeId="0" xr:uid="{3A7CDFDB-FAD4-BD43-92C3-DB8952711813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MCC = (TP×TN − FP×FN) / √((TP+FP)(TP+FN)(TN+FP)(TN+FN))
Range: -1 (total disagreement) to +1 (perfect prediction). 0 = random.</t>
        </r>
      </text>
    </comment>
    <comment ref="F28" authorId="0" shapeId="0" xr:uid="{0638E3FF-68FE-804A-BE0A-1EBC54ECCE7E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Example illustrative values.
At low thresholds: high recall, low precision.</t>
        </r>
      </text>
    </comment>
    <comment ref="B32" authorId="0" shapeId="0" xr:uid="{D29EF413-A603-E944-A1F3-D8210231B401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Youden's J = Sensitivity + Specificity − 1
Range: 0 (useless) to 1 (perfect). Measures overall diagnostic effectiveness.</t>
        </r>
      </text>
    </comment>
    <comment ref="E32" authorId="0" shapeId="0" xr:uid="{DEDA8110-6236-9B4F-9D3B-51660D4D81E9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Base-case threshold (matches the confusion matrix inputs above)</t>
        </r>
      </text>
    </comment>
    <comment ref="B33" authorId="0" shapeId="0" xr:uid="{34334584-80BD-1A4D-A968-1ED637CDE9CB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Markedness = PPV + NPV − 1
Measures how much predictions improve over random guessing.</t>
        </r>
      </text>
    </comment>
    <comment ref="F36" authorId="0" shapeId="0" xr:uid="{2A7FF245-1624-DA43-B2BE-1D2D589D42A7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Example illustrative values.
At high thresholds: high precision, low recall.</t>
        </r>
      </text>
    </comment>
  </commentList>
</comments>
</file>

<file path=xl/sharedStrings.xml><?xml version="1.0" encoding="utf-8"?>
<sst xmlns="http://schemas.openxmlformats.org/spreadsheetml/2006/main" count="94" uniqueCount="85">
  <si>
    <t>Logistic Regression — Binary Classification Model Evaluation</t>
  </si>
  <si>
    <t>CONFUSION MATRIX INPUTS</t>
  </si>
  <si>
    <t>Label</t>
  </si>
  <si>
    <t>Count</t>
  </si>
  <si>
    <t>True Positives (TP)</t>
  </si>
  <si>
    <t>True Negatives (TN)</t>
  </si>
  <si>
    <t>False Positives (FP)</t>
  </si>
  <si>
    <t>False Negatives (FN)</t>
  </si>
  <si>
    <t>Total Samples</t>
  </si>
  <si>
    <t>Threshold</t>
  </si>
  <si>
    <t>CONFUSION MATRIX</t>
  </si>
  <si>
    <t>Predicted: Positive</t>
  </si>
  <si>
    <t>Predicted: Negative</t>
  </si>
  <si>
    <t>Actual: Positive</t>
  </si>
  <si>
    <t>Actual: Negative</t>
  </si>
  <si>
    <t>Σ Pred Pos</t>
  </si>
  <si>
    <t>Σ Pred Neg</t>
  </si>
  <si>
    <t>CLASSIFICATION METRICS</t>
  </si>
  <si>
    <t>Metric</t>
  </si>
  <si>
    <t>Formula</t>
  </si>
  <si>
    <t>Value</t>
  </si>
  <si>
    <t>Accuracy</t>
  </si>
  <si>
    <t>(TP+TN) / Total</t>
  </si>
  <si>
    <t>Precision (PPV)</t>
  </si>
  <si>
    <t>TP / (TP+FP)</t>
  </si>
  <si>
    <t>Recall / Sensitivity (TPR)</t>
  </si>
  <si>
    <t>TP / (TP+FN)</t>
  </si>
  <si>
    <t>Specificity (TNR)</t>
  </si>
  <si>
    <t>TN / (TN+FP)</t>
  </si>
  <si>
    <t>F1 Score</t>
  </si>
  <si>
    <t>2×(Prec×Rec)/(Prec+Rec)</t>
  </si>
  <si>
    <t>False Positive Rate (FPR)</t>
  </si>
  <si>
    <t>FP / (FP+TN)</t>
  </si>
  <si>
    <t>Negative Pred. Value (NPV)</t>
  </si>
  <si>
    <t>TN / (TN+FN)</t>
  </si>
  <si>
    <t>False Discovery Rate (FDR)</t>
  </si>
  <si>
    <t>FP / (FP+TP)</t>
  </si>
  <si>
    <t>Miss Rate (FNR)</t>
  </si>
  <si>
    <t>FN / (FN+TP)</t>
  </si>
  <si>
    <t>Balanced Accuracy</t>
  </si>
  <si>
    <t>(TPR+TNR) / 2</t>
  </si>
  <si>
    <t>Matthews Corr. Coeff. (MCC)</t>
  </si>
  <si>
    <t>See formula →</t>
  </si>
  <si>
    <t>METRIC INTERPRETATION GUIDE</t>
  </si>
  <si>
    <t>Focus</t>
  </si>
  <si>
    <t>Use When...</t>
  </si>
  <si>
    <t>Watch Out For...</t>
  </si>
  <si>
    <t>Overall correctness</t>
  </si>
  <si>
    <t>Classes are balanced</t>
  </si>
  <si>
    <t>Misleading with imbalanced data</t>
  </si>
  <si>
    <t>Precision</t>
  </si>
  <si>
    <t>Quality of positives</t>
  </si>
  <si>
    <t>False alarms are costly (spam filter)</t>
  </si>
  <si>
    <t>Ignores missed positives (FN)</t>
  </si>
  <si>
    <t>Recall</t>
  </si>
  <si>
    <t>Catching all positives</t>
  </si>
  <si>
    <t>Missing positives is costly (disease)</t>
  </si>
  <si>
    <t>Ignores false alarms (FP)</t>
  </si>
  <si>
    <t>Balance Prec &amp; Rec</t>
  </si>
  <si>
    <t>Need single balanced metric</t>
  </si>
  <si>
    <t>Doesn't account for TN</t>
  </si>
  <si>
    <t>Specificity</t>
  </si>
  <si>
    <t>Correct negatives</t>
  </si>
  <si>
    <t>Healthy patients must stay clear</t>
  </si>
  <si>
    <t>Ignores positive class entirely</t>
  </si>
  <si>
    <t>MCC</t>
  </si>
  <si>
    <t>All 4 quadrants</t>
  </si>
  <si>
    <t>Imbalanced classes; overall quality</t>
  </si>
  <si>
    <t>Less intuitive than other metrics</t>
  </si>
  <si>
    <t>Balanced Acc.</t>
  </si>
  <si>
    <t>Avg of TPR &amp; TNR</t>
  </si>
  <si>
    <t>Imbalanced data; equal class importance</t>
  </si>
  <si>
    <t>Doesn't capture Prec/FDR tradeoff</t>
  </si>
  <si>
    <t>FPR</t>
  </si>
  <si>
    <t>False alarm rate</t>
  </si>
  <si>
    <t>ROC analysis; threshold tuning</t>
  </si>
  <si>
    <t>Only looks at negative class</t>
  </si>
  <si>
    <t>CLASS BALANCE &amp; MODEL SUMMARY</t>
  </si>
  <si>
    <t>THRESHOLD SENSITIVITY ANALYSIS</t>
  </si>
  <si>
    <t>Actual Positives (P)</t>
  </si>
  <si>
    <t>Actual Negatives (N)</t>
  </si>
  <si>
    <t>Prevalence (P/Total)</t>
  </si>
  <si>
    <t>Imbalance Ratio (N:P)</t>
  </si>
  <si>
    <t>Informedness (Youden's J)</t>
  </si>
  <si>
    <t>Markedness (ΔP)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</si>
</sst>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&quot;x&quot;"/>
    <numFmt numFmtId="166" formatCode="0.0"/>
  </numFmts>
  <fonts count="8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22"/>
      <color rgb="FF1A1A2E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rgb="FF0000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2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4" fillId="6" borderId="0" xfId="0" applyFont="1" applyFill="1"/>
    <xf numFmtId="0" fontId="6" fillId="6" borderId="0" xfId="0" applyFont="1" applyFill="1" applyAlignment="1">
      <alignment horizontal="center"/>
    </xf>
    <xf numFmtId="0" fontId="4" fillId="4" borderId="0" xfId="0" applyFont="1" applyFill="1"/>
    <xf numFmtId="0" fontId="7" fillId="4" borderId="0" xfId="0" applyFont="1" applyFill="1" applyAlignment="1">
      <alignment horizontal="center"/>
    </xf>
    <xf numFmtId="0" fontId="6" fillId="6" borderId="0" xfId="0" applyFont="1" applyFill="1"/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4" fillId="5" borderId="0" xfId="0" applyFont="1" applyFill="1"/>
    <xf numFmtId="0" fontId="7" fillId="5" borderId="0" xfId="0" applyFont="1" applyFill="1" applyAlignment="1">
      <alignment horizontal="center"/>
    </xf>
    <xf numFmtId="0" fontId="4" fillId="3" borderId="0" xfId="0" applyFont="1" applyFill="1"/>
    <xf numFmtId="0" fontId="4" fillId="7" borderId="0" xfId="0" applyFont="1" applyFill="1"/>
    <xf numFmtId="2" fontId="7" fillId="7" borderId="0" xfId="0" applyNumberFormat="1" applyFont="1" applyFill="1" applyAlignment="1">
      <alignment horizontal="center"/>
    </xf>
    <xf numFmtId="0" fontId="6" fillId="0" borderId="0" xfId="0" applyFont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10" fontId="4" fillId="10" borderId="0" xfId="0" applyNumberFormat="1" applyFont="1" applyFill="1" applyAlignment="1">
      <alignment horizontal="center"/>
    </xf>
    <xf numFmtId="0" fontId="4" fillId="11" borderId="0" xfId="0" applyFont="1" applyFill="1"/>
    <xf numFmtId="0" fontId="4" fillId="11" borderId="0" xfId="0" applyFont="1" applyFill="1" applyAlignment="1">
      <alignment horizontal="center"/>
    </xf>
    <xf numFmtId="10" fontId="4" fillId="11" borderId="0" xfId="0" applyNumberFormat="1" applyFont="1" applyFill="1" applyAlignment="1">
      <alignment horizontal="center"/>
    </xf>
    <xf numFmtId="0" fontId="6" fillId="10" borderId="0" xfId="0" applyFont="1" applyFill="1"/>
    <xf numFmtId="10" fontId="6" fillId="10" borderId="0" xfId="0" applyNumberFormat="1" applyFont="1" applyFill="1" applyAlignment="1">
      <alignment horizontal="center"/>
    </xf>
    <xf numFmtId="164" fontId="6" fillId="10" borderId="0" xfId="0" applyNumberFormat="1" applyFont="1" applyFill="1" applyAlignment="1">
      <alignment horizontal="center"/>
    </xf>
    <xf numFmtId="0" fontId="6" fillId="11" borderId="0" xfId="0" applyFont="1" applyFill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6" fontId="4" fillId="10" borderId="0" xfId="0" applyNumberFormat="1" applyFont="1" applyFill="1" applyAlignment="1">
      <alignment horizontal="center"/>
    </xf>
    <xf numFmtId="10" fontId="7" fillId="10" borderId="0" xfId="0" applyNumberFormat="1" applyFont="1" applyFill="1" applyAlignment="1">
      <alignment horizontal="center"/>
    </xf>
    <xf numFmtId="166" fontId="4" fillId="11" borderId="0" xfId="0" applyNumberFormat="1" applyFont="1" applyFill="1" applyAlignment="1">
      <alignment horizontal="center"/>
    </xf>
    <xf numFmtId="10" fontId="7" fillId="11" borderId="0" xfId="0" applyNumberFormat="1" applyFont="1" applyFill="1" applyAlignment="1">
      <alignment horizontal="center"/>
    </xf>
    <xf numFmtId="166" fontId="6" fillId="12" borderId="0" xfId="0" applyNumberFormat="1" applyFont="1" applyFill="1" applyAlignment="1">
      <alignment horizontal="center"/>
    </xf>
    <xf numFmtId="10" fontId="6" fillId="1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Precision vs Recall vs F1 by Threshold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Sheet1!$E$27</c:f>
              <c:strCache>
                <c:ptCount val="1"/>
                <c:pt idx="0">
                  <c:v>Threshold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Sheet1!$E$28:$E$36</c:f>
              <c:numCache>
                <c:formatCode>0.0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2-F548-BA91-F3E57DA913F6}"/>
            </c:ext>
          </c:extLst>
        </c:ser>
        <c:ser>
          <c:idx val="1"/>
          <c:order val="1"/>
          <c:tx>
            <c:strRef>
              <c:f>Sheet1!$F$27</c:f>
              <c:strCache>
                <c:ptCount val="1"/>
                <c:pt idx="0">
                  <c:v>Precision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Sheet1!$F$28:$F$36</c:f>
              <c:numCache>
                <c:formatCode>0.00%</c:formatCode>
                <c:ptCount val="9"/>
                <c:pt idx="0">
                  <c:v>0.65</c:v>
                </c:pt>
                <c:pt idx="1">
                  <c:v>0.72</c:v>
                </c:pt>
                <c:pt idx="2">
                  <c:v>0.78</c:v>
                </c:pt>
                <c:pt idx="3">
                  <c:v>0.8</c:v>
                </c:pt>
                <c:pt idx="4">
                  <c:v>0.80952380952380953</c:v>
                </c:pt>
                <c:pt idx="5">
                  <c:v>0.85</c:v>
                </c:pt>
                <c:pt idx="6">
                  <c:v>0.89</c:v>
                </c:pt>
                <c:pt idx="7">
                  <c:v>0.93</c:v>
                </c:pt>
                <c:pt idx="8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2-F548-BA91-F3E57DA913F6}"/>
            </c:ext>
          </c:extLst>
        </c:ser>
        <c:ser>
          <c:idx val="2"/>
          <c:order val="2"/>
          <c:tx>
            <c:strRef>
              <c:f>Sheet1!$G$27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Sheet1!$G$28:$G$36</c:f>
              <c:numCache>
                <c:formatCode>0.00%</c:formatCode>
                <c:ptCount val="9"/>
                <c:pt idx="0">
                  <c:v>0.98</c:v>
                </c:pt>
                <c:pt idx="1">
                  <c:v>0.95</c:v>
                </c:pt>
                <c:pt idx="2">
                  <c:v>0.92</c:v>
                </c:pt>
                <c:pt idx="3">
                  <c:v>0.88</c:v>
                </c:pt>
                <c:pt idx="4">
                  <c:v>0.85</c:v>
                </c:pt>
                <c:pt idx="5">
                  <c:v>0.78</c:v>
                </c:pt>
                <c:pt idx="6">
                  <c:v>0.68</c:v>
                </c:pt>
                <c:pt idx="7">
                  <c:v>0.52</c:v>
                </c:pt>
                <c:pt idx="8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62-F548-BA91-F3E57DA913F6}"/>
            </c:ext>
          </c:extLst>
        </c:ser>
        <c:ser>
          <c:idx val="3"/>
          <c:order val="3"/>
          <c:tx>
            <c:strRef>
              <c:f>Sheet1!$H$27</c:f>
              <c:strCache>
                <c:ptCount val="1"/>
                <c:pt idx="0">
                  <c:v>F1 Score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Sheet1!$H$28:$H$36</c:f>
              <c:numCache>
                <c:formatCode>0.00%</c:formatCode>
                <c:ptCount val="9"/>
                <c:pt idx="0">
                  <c:v>0.78159509202453992</c:v>
                </c:pt>
                <c:pt idx="1">
                  <c:v>0.81916167664670658</c:v>
                </c:pt>
                <c:pt idx="2">
                  <c:v>0.84423529411764697</c:v>
                </c:pt>
                <c:pt idx="3">
                  <c:v>0.83809523809523812</c:v>
                </c:pt>
                <c:pt idx="4">
                  <c:v>0.8292682926829269</c:v>
                </c:pt>
                <c:pt idx="5">
                  <c:v>0.8134969325153375</c:v>
                </c:pt>
                <c:pt idx="6">
                  <c:v>0.77095541401273893</c:v>
                </c:pt>
                <c:pt idx="7">
                  <c:v>0.66703448275862065</c:v>
                </c:pt>
                <c:pt idx="8">
                  <c:v>0.45826771653543302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62-F548-BA91-F3E57DA91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9999"/>
        <c:axId val="779436032"/>
      </c:lineChart>
      <c:catAx>
        <c:axId val="17529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36032"/>
        <c:crosses val="autoZero"/>
        <c:auto val="1"/>
        <c:lblAlgn val="ctr"/>
        <c:lblOffset val="100"/>
        <c:noMultiLvlLbl val="0"/>
      </c:catAx>
      <c:valAx>
        <c:axId val="7794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37</xdr:row>
      <xdr:rowOff>0</xdr:rowOff>
    </xdr:from>
    <xdr:to>
      <xdr:col>6</xdr:col>
      <xdr:colOff>127000</xdr:colOff>
      <xdr:row>44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B928F5-4ED2-1326-6B5D-68BB6EA75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F31D75-75A1-D94C-9519-F7F0467C45D9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A28E-D6D6-1A46-BA17-A34DCE195E91}">
  <dimension ref="A1:H36"/>
  <sheetViews>
    <sheetView tabSelected="1" workbookViewId="0">
      <selection activeCell="A31" sqref="A31"/>
    </sheetView>
  </sheetViews>
  <sheetFormatPr baseColWidth="10" defaultColWidth="32.6640625" defaultRowHeight="29" x14ac:dyDescent="0.35"/>
  <cols>
    <col min="1" max="1" width="35" style="2" customWidth="1"/>
    <col min="2" max="3" width="26.6640625" style="2" customWidth="1"/>
    <col min="4" max="4" width="18.33203125" style="2" customWidth="1"/>
    <col min="5" max="5" width="25" style="2" customWidth="1"/>
    <col min="6" max="8" width="33.33203125" style="2" customWidth="1"/>
    <col min="9" max="16384" width="32.6640625" style="2"/>
  </cols>
  <sheetData>
    <row r="1" spans="1:8" x14ac:dyDescent="0.35">
      <c r="A1" s="1" t="s">
        <v>0</v>
      </c>
    </row>
    <row r="3" spans="1:8" x14ac:dyDescent="0.35">
      <c r="A3" s="3" t="s">
        <v>1</v>
      </c>
      <c r="B3" s="4"/>
      <c r="D3" s="3" t="s">
        <v>10</v>
      </c>
      <c r="E3" s="4"/>
      <c r="F3" s="4"/>
    </row>
    <row r="4" spans="1:8" x14ac:dyDescent="0.35">
      <c r="A4" s="5" t="s">
        <v>2</v>
      </c>
      <c r="B4" s="6" t="s">
        <v>3</v>
      </c>
      <c r="D4" s="7"/>
      <c r="E4" s="8" t="s">
        <v>11</v>
      </c>
      <c r="F4" s="8" t="s">
        <v>12</v>
      </c>
    </row>
    <row r="5" spans="1:8" x14ac:dyDescent="0.35">
      <c r="A5" s="9" t="s">
        <v>4</v>
      </c>
      <c r="B5" s="10">
        <v>85</v>
      </c>
      <c r="D5" s="11" t="s">
        <v>13</v>
      </c>
      <c r="E5" s="12">
        <f>B5</f>
        <v>85</v>
      </c>
      <c r="F5" s="13">
        <f>B8</f>
        <v>15</v>
      </c>
    </row>
    <row r="6" spans="1:8" x14ac:dyDescent="0.35">
      <c r="A6" s="9" t="s">
        <v>5</v>
      </c>
      <c r="B6" s="10">
        <v>130</v>
      </c>
      <c r="D6" s="11" t="s">
        <v>14</v>
      </c>
      <c r="E6" s="13">
        <f>B7</f>
        <v>20</v>
      </c>
      <c r="F6" s="12">
        <f>B6</f>
        <v>130</v>
      </c>
    </row>
    <row r="7" spans="1:8" x14ac:dyDescent="0.35">
      <c r="A7" s="14" t="s">
        <v>6</v>
      </c>
      <c r="B7" s="15">
        <v>20</v>
      </c>
      <c r="E7" s="6" t="s">
        <v>15</v>
      </c>
      <c r="F7" s="6" t="s">
        <v>16</v>
      </c>
    </row>
    <row r="8" spans="1:8" x14ac:dyDescent="0.35">
      <c r="A8" s="14" t="s">
        <v>7</v>
      </c>
      <c r="B8" s="15">
        <v>15</v>
      </c>
      <c r="D8" s="16"/>
      <c r="E8" s="6">
        <f>E5+E6</f>
        <v>105</v>
      </c>
      <c r="F8" s="6">
        <f>F5+F6</f>
        <v>145</v>
      </c>
    </row>
    <row r="9" spans="1:8" x14ac:dyDescent="0.35">
      <c r="A9" s="11" t="s">
        <v>8</v>
      </c>
      <c r="B9" s="8">
        <f>SUM(B5:B8)</f>
        <v>250</v>
      </c>
    </row>
    <row r="10" spans="1:8" x14ac:dyDescent="0.35">
      <c r="A10" s="17" t="s">
        <v>9</v>
      </c>
      <c r="B10" s="18">
        <v>0.5</v>
      </c>
    </row>
    <row r="12" spans="1:8" x14ac:dyDescent="0.35">
      <c r="A12" s="3" t="s">
        <v>17</v>
      </c>
      <c r="B12" s="4"/>
      <c r="C12" s="4"/>
      <c r="E12" s="3" t="s">
        <v>43</v>
      </c>
      <c r="F12" s="4"/>
      <c r="G12" s="4"/>
      <c r="H12" s="4"/>
    </row>
    <row r="13" spans="1:8" x14ac:dyDescent="0.35">
      <c r="A13" s="5" t="s">
        <v>18</v>
      </c>
      <c r="B13" s="6" t="s">
        <v>19</v>
      </c>
      <c r="C13" s="6" t="s">
        <v>20</v>
      </c>
      <c r="E13" s="5" t="s">
        <v>18</v>
      </c>
      <c r="F13" s="5" t="s">
        <v>44</v>
      </c>
      <c r="G13" s="5" t="s">
        <v>45</v>
      </c>
      <c r="H13" s="5" t="s">
        <v>46</v>
      </c>
    </row>
    <row r="14" spans="1:8" x14ac:dyDescent="0.35">
      <c r="A14" s="20" t="s">
        <v>21</v>
      </c>
      <c r="B14" s="21" t="s">
        <v>22</v>
      </c>
      <c r="C14" s="22">
        <f>(B5+B6)/B9</f>
        <v>0.86</v>
      </c>
      <c r="E14" s="26" t="s">
        <v>21</v>
      </c>
      <c r="F14" s="20" t="s">
        <v>47</v>
      </c>
      <c r="G14" s="20" t="s">
        <v>48</v>
      </c>
      <c r="H14" s="20" t="s">
        <v>49</v>
      </c>
    </row>
    <row r="15" spans="1:8" x14ac:dyDescent="0.35">
      <c r="A15" s="23" t="s">
        <v>23</v>
      </c>
      <c r="B15" s="24" t="s">
        <v>24</v>
      </c>
      <c r="C15" s="25">
        <f>B5/(B5+B7)</f>
        <v>0.80952380952380953</v>
      </c>
      <c r="E15" s="29" t="s">
        <v>50</v>
      </c>
      <c r="F15" s="23" t="s">
        <v>51</v>
      </c>
      <c r="G15" s="23" t="s">
        <v>52</v>
      </c>
      <c r="H15" s="23" t="s">
        <v>53</v>
      </c>
    </row>
    <row r="16" spans="1:8" x14ac:dyDescent="0.35">
      <c r="A16" s="20" t="s">
        <v>25</v>
      </c>
      <c r="B16" s="21" t="s">
        <v>26</v>
      </c>
      <c r="C16" s="22">
        <f>B5/(B5+B8)</f>
        <v>0.85</v>
      </c>
      <c r="E16" s="26" t="s">
        <v>54</v>
      </c>
      <c r="F16" s="20" t="s">
        <v>55</v>
      </c>
      <c r="G16" s="20" t="s">
        <v>56</v>
      </c>
      <c r="H16" s="20" t="s">
        <v>57</v>
      </c>
    </row>
    <row r="17" spans="1:8" x14ac:dyDescent="0.35">
      <c r="A17" s="23" t="s">
        <v>27</v>
      </c>
      <c r="B17" s="24" t="s">
        <v>28</v>
      </c>
      <c r="C17" s="25">
        <f>B6/(B6+B7)</f>
        <v>0.8666666666666667</v>
      </c>
      <c r="E17" s="29" t="s">
        <v>29</v>
      </c>
      <c r="F17" s="23" t="s">
        <v>58</v>
      </c>
      <c r="G17" s="23" t="s">
        <v>59</v>
      </c>
      <c r="H17" s="23" t="s">
        <v>60</v>
      </c>
    </row>
    <row r="18" spans="1:8" x14ac:dyDescent="0.35">
      <c r="A18" s="26" t="s">
        <v>29</v>
      </c>
      <c r="B18" s="21" t="s">
        <v>30</v>
      </c>
      <c r="C18" s="27">
        <f>2*(C15*C16)/(C15+C16)</f>
        <v>0.8292682926829269</v>
      </c>
      <c r="E18" s="26" t="s">
        <v>61</v>
      </c>
      <c r="F18" s="20" t="s">
        <v>62</v>
      </c>
      <c r="G18" s="20" t="s">
        <v>63</v>
      </c>
      <c r="H18" s="20" t="s">
        <v>64</v>
      </c>
    </row>
    <row r="19" spans="1:8" x14ac:dyDescent="0.35">
      <c r="A19" s="23" t="s">
        <v>31</v>
      </c>
      <c r="B19" s="24" t="s">
        <v>32</v>
      </c>
      <c r="C19" s="25">
        <f>B7/(B7+B6)</f>
        <v>0.13333333333333333</v>
      </c>
      <c r="E19" s="29" t="s">
        <v>65</v>
      </c>
      <c r="F19" s="23" t="s">
        <v>66</v>
      </c>
      <c r="G19" s="23" t="s">
        <v>67</v>
      </c>
      <c r="H19" s="23" t="s">
        <v>68</v>
      </c>
    </row>
    <row r="20" spans="1:8" x14ac:dyDescent="0.35">
      <c r="A20" s="20" t="s">
        <v>33</v>
      </c>
      <c r="B20" s="21" t="s">
        <v>34</v>
      </c>
      <c r="C20" s="22">
        <f>B6/(B6+B8)</f>
        <v>0.89655172413793105</v>
      </c>
      <c r="E20" s="26" t="s">
        <v>69</v>
      </c>
      <c r="F20" s="20" t="s">
        <v>70</v>
      </c>
      <c r="G20" s="20" t="s">
        <v>71</v>
      </c>
      <c r="H20" s="20" t="s">
        <v>72</v>
      </c>
    </row>
    <row r="21" spans="1:8" x14ac:dyDescent="0.35">
      <c r="A21" s="23" t="s">
        <v>35</v>
      </c>
      <c r="B21" s="24" t="s">
        <v>36</v>
      </c>
      <c r="C21" s="25">
        <f>B7/(B7+B5)</f>
        <v>0.19047619047619047</v>
      </c>
      <c r="E21" s="29" t="s">
        <v>73</v>
      </c>
      <c r="F21" s="23" t="s">
        <v>74</v>
      </c>
      <c r="G21" s="23" t="s">
        <v>75</v>
      </c>
      <c r="H21" s="23" t="s">
        <v>76</v>
      </c>
    </row>
    <row r="22" spans="1:8" x14ac:dyDescent="0.35">
      <c r="A22" s="20" t="s">
        <v>37</v>
      </c>
      <c r="B22" s="21" t="s">
        <v>38</v>
      </c>
      <c r="C22" s="22">
        <f>B8/(B8+B5)</f>
        <v>0.15</v>
      </c>
    </row>
    <row r="23" spans="1:8" x14ac:dyDescent="0.35">
      <c r="A23" s="23" t="s">
        <v>39</v>
      </c>
      <c r="B23" s="24" t="s">
        <v>40</v>
      </c>
      <c r="C23" s="25">
        <f>(C16+C17)/2</f>
        <v>0.85833333333333339</v>
      </c>
    </row>
    <row r="24" spans="1:8" x14ac:dyDescent="0.35">
      <c r="A24" s="26" t="s">
        <v>41</v>
      </c>
      <c r="B24" s="21" t="s">
        <v>42</v>
      </c>
      <c r="C24" s="28">
        <f>(B5*B6-B7*B8)/SQRT((B5+B7)*(B5+B8)*(B6+B7)*(B6+B8))</f>
        <v>0.71135138934583342</v>
      </c>
    </row>
    <row r="26" spans="1:8" x14ac:dyDescent="0.35">
      <c r="A26" s="3" t="s">
        <v>77</v>
      </c>
      <c r="B26" s="4"/>
      <c r="C26" s="4"/>
      <c r="E26" s="3" t="s">
        <v>78</v>
      </c>
      <c r="F26" s="4"/>
      <c r="G26" s="4"/>
      <c r="H26" s="4"/>
    </row>
    <row r="27" spans="1:8" x14ac:dyDescent="0.35">
      <c r="A27" s="5" t="s">
        <v>18</v>
      </c>
      <c r="B27" s="6" t="s">
        <v>20</v>
      </c>
      <c r="C27" s="16"/>
      <c r="E27" s="6" t="s">
        <v>9</v>
      </c>
      <c r="F27" s="6" t="s">
        <v>50</v>
      </c>
      <c r="G27" s="6" t="s">
        <v>54</v>
      </c>
      <c r="H27" s="6" t="s">
        <v>29</v>
      </c>
    </row>
    <row r="28" spans="1:8" x14ac:dyDescent="0.35">
      <c r="A28" s="2" t="s">
        <v>79</v>
      </c>
      <c r="B28" s="30">
        <f>B5+B8</f>
        <v>100</v>
      </c>
      <c r="E28" s="34">
        <v>0.1</v>
      </c>
      <c r="F28" s="35">
        <v>0.65</v>
      </c>
      <c r="G28" s="35">
        <v>0.98</v>
      </c>
      <c r="H28" s="22">
        <f>2*(F28*G28)/(F28+G28)</f>
        <v>0.78159509202453992</v>
      </c>
    </row>
    <row r="29" spans="1:8" x14ac:dyDescent="0.35">
      <c r="A29" s="2" t="s">
        <v>80</v>
      </c>
      <c r="B29" s="30">
        <f>B6+B7</f>
        <v>150</v>
      </c>
      <c r="E29" s="36">
        <v>0.2</v>
      </c>
      <c r="F29" s="37">
        <v>0.72</v>
      </c>
      <c r="G29" s="37">
        <v>0.95</v>
      </c>
      <c r="H29" s="25">
        <f>2*(F29*G29)/(F29+G29)</f>
        <v>0.81916167664670658</v>
      </c>
    </row>
    <row r="30" spans="1:8" x14ac:dyDescent="0.35">
      <c r="A30" s="2" t="s">
        <v>81</v>
      </c>
      <c r="B30" s="31">
        <f>B28/B9</f>
        <v>0.4</v>
      </c>
      <c r="E30" s="34">
        <v>0.3</v>
      </c>
      <c r="F30" s="35">
        <v>0.78</v>
      </c>
      <c r="G30" s="35">
        <v>0.92</v>
      </c>
      <c r="H30" s="22">
        <f>2*(F30*G30)/(F30+G30)</f>
        <v>0.84423529411764697</v>
      </c>
    </row>
    <row r="31" spans="1:8" x14ac:dyDescent="0.35">
      <c r="A31" s="2" t="s">
        <v>82</v>
      </c>
      <c r="B31" s="32">
        <f>B29/B28</f>
        <v>1.5</v>
      </c>
      <c r="E31" s="36">
        <v>0.4</v>
      </c>
      <c r="F31" s="37">
        <v>0.8</v>
      </c>
      <c r="G31" s="37">
        <v>0.88</v>
      </c>
      <c r="H31" s="25">
        <f>2*(F31*G31)/(F31+G31)</f>
        <v>0.83809523809523812</v>
      </c>
    </row>
    <row r="32" spans="1:8" x14ac:dyDescent="0.35">
      <c r="A32" s="19" t="s">
        <v>83</v>
      </c>
      <c r="B32" s="33">
        <f>C16+C17-1</f>
        <v>0.71666666666666679</v>
      </c>
      <c r="E32" s="38">
        <v>0.5</v>
      </c>
      <c r="F32" s="39">
        <f>C15</f>
        <v>0.80952380952380953</v>
      </c>
      <c r="G32" s="39">
        <f>C16</f>
        <v>0.85</v>
      </c>
      <c r="H32" s="39">
        <f>C18</f>
        <v>0.8292682926829269</v>
      </c>
    </row>
    <row r="33" spans="1:8" x14ac:dyDescent="0.35">
      <c r="A33" s="19" t="s">
        <v>84</v>
      </c>
      <c r="B33" s="33">
        <f>C15+C20-1</f>
        <v>0.70607553366174058</v>
      </c>
      <c r="E33" s="36">
        <v>0.6</v>
      </c>
      <c r="F33" s="37">
        <v>0.85</v>
      </c>
      <c r="G33" s="37">
        <v>0.78</v>
      </c>
      <c r="H33" s="25">
        <f>2*(F33*G33)/(F33+G33)</f>
        <v>0.8134969325153375</v>
      </c>
    </row>
    <row r="34" spans="1:8" x14ac:dyDescent="0.35">
      <c r="E34" s="34">
        <v>0.7</v>
      </c>
      <c r="F34" s="35">
        <v>0.89</v>
      </c>
      <c r="G34" s="35">
        <v>0.68</v>
      </c>
      <c r="H34" s="22">
        <f>2*(F34*G34)/(F34+G34)</f>
        <v>0.77095541401273893</v>
      </c>
    </row>
    <row r="35" spans="1:8" x14ac:dyDescent="0.35">
      <c r="E35" s="36">
        <v>0.8</v>
      </c>
      <c r="F35" s="37">
        <v>0.93</v>
      </c>
      <c r="G35" s="37">
        <v>0.52</v>
      </c>
      <c r="H35" s="25">
        <f>2*(F35*G35)/(F35+G35)</f>
        <v>0.66703448275862065</v>
      </c>
    </row>
    <row r="36" spans="1:8" x14ac:dyDescent="0.35">
      <c r="E36" s="34">
        <v>0.9</v>
      </c>
      <c r="F36" s="35">
        <v>0.97</v>
      </c>
      <c r="G36" s="35">
        <v>0.3</v>
      </c>
      <c r="H36" s="22">
        <f>2*(F36*G36)/(F36+G36)</f>
        <v>0.45826771653543302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Ravichandran Vaidyanathan</dc:creator>
  <cp:lastModifiedBy>Ravichandran Vaidyanathan</cp:lastModifiedBy>
  <dcterms:created xsi:type="dcterms:W3CDTF">2026-03-23T10:27:08Z</dcterms:created>
  <dcterms:modified xsi:type="dcterms:W3CDTF">2026-04-09T09:58:07Z</dcterms:modified>
</cp:coreProperties>
</file>